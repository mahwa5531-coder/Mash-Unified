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_Adjustments" sheetId="1" state="visible" r:id="rId1"/>
    <sheet xmlns:r="http://schemas.openxmlformats.org/officeDocument/2006/relationships" name="Pivo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.5"/>
    </font>
    <font>
      <name val="Segoe UI"/>
      <b val="1"/>
      <color rgb="00C5221F"/>
      <sz val="10"/>
    </font>
    <font>
      <name val="Segoe UI"/>
      <b val="1"/>
      <color rgb="00137333"/>
      <sz val="10"/>
    </font>
    <font>
      <name val="Segoe UI"/>
      <b val="1"/>
      <color rgb="001B365D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CE8E6"/>
        <bgColor rgb="00FCE8E6"/>
      </patternFill>
    </fill>
    <fill>
      <patternFill patternType="solid">
        <fgColor rgb="00E6F4EA"/>
        <bgColor rgb="00E6F4EA"/>
      </patternFill>
    </fill>
    <fill>
      <patternFill patternType="solid">
        <fgColor rgb="00E8EEF5"/>
        <bgColor rgb="00E8EEF5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5" borderId="2" pivotButton="0" quotePrefix="0" xfId="0"/>
    <xf numFmtId="0" fontId="5" fillId="5" borderId="2" pivotButton="0" quotePrefix="0" xfId="0"/>
    <xf numFmtId="164" fontId="5" fillId="5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9" customWidth="1" min="2" max="2"/>
    <col width="17" customWidth="1" min="3" max="3"/>
    <col width="23" customWidth="1" min="4" max="4"/>
    <col width="19" customWidth="1" min="5" max="5"/>
    <col width="22" customWidth="1" min="6" max="6"/>
    <col width="26" customWidth="1" min="7" max="7"/>
    <col width="25" customWidth="1" min="8" max="8"/>
    <col width="25" customWidth="1" min="9" max="9"/>
    <col width="29" customWidth="1" min="10" max="10"/>
    <col width="16" customWidth="1" min="11" max="11"/>
  </cols>
  <sheetData>
    <row r="1" ht="28" customHeight="1">
      <c r="A1" s="1" t="inlineStr">
        <is>
          <t>Asset ID</t>
        </is>
      </c>
      <c r="B1" s="1" t="inlineStr">
        <is>
          <t>Asset Description</t>
        </is>
      </c>
      <c r="C1" s="1" t="inlineStr">
        <is>
          <t>Location</t>
        </is>
      </c>
      <c r="D1" s="1" t="inlineStr">
        <is>
          <t>Capitalisation Date</t>
        </is>
      </c>
      <c r="E1" s="1" t="inlineStr">
        <is>
          <t>Gross Block (₹)</t>
        </is>
      </c>
      <c r="F1" s="1" t="inlineStr">
        <is>
          <t>Adopted Life (Yrs)</t>
        </is>
      </c>
      <c r="G1" s="1" t="inlineStr">
        <is>
          <t>Schedule II Life (Yrs)</t>
        </is>
      </c>
      <c r="H1" s="1" t="inlineStr">
        <is>
          <t>Statutory SLM Dep (₹)</t>
        </is>
      </c>
      <c r="I1" s="1" t="inlineStr">
        <is>
          <t>Recorded Book Dep (₹)</t>
        </is>
      </c>
      <c r="J1" s="1" t="inlineStr">
        <is>
          <t>Depreciation Variance (₹)</t>
        </is>
      </c>
      <c r="K1" s="1" t="inlineStr">
        <is>
          <t>Audit Status</t>
        </is>
      </c>
    </row>
    <row r="2" ht="22" customHeight="1">
      <c r="A2" s="2" t="inlineStr">
        <is>
          <t>FA-PM-1042</t>
        </is>
      </c>
      <c r="B2" s="3" t="inlineStr">
        <is>
          <t>CNC 5-Axis Milling Unit (Line 1)</t>
        </is>
      </c>
      <c r="C2" s="3" t="inlineStr">
        <is>
          <t>Pune Plant #2</t>
        </is>
      </c>
      <c r="D2" s="2" t="inlineStr">
        <is>
          <t>2019-04-15</t>
        </is>
      </c>
      <c r="E2" s="4" t="n">
        <v>22500000</v>
      </c>
      <c r="F2" s="2" t="n">
        <v>20</v>
      </c>
      <c r="G2" s="2" t="n">
        <v>15</v>
      </c>
      <c r="H2" s="4" t="n">
        <v>1425000</v>
      </c>
      <c r="I2" s="4" t="n">
        <v>1050000</v>
      </c>
      <c r="J2" s="4">
        <f>H2-I2</f>
        <v/>
      </c>
      <c r="K2" s="5" t="inlineStr">
        <is>
          <t>[EXCEPTION]</t>
        </is>
      </c>
    </row>
    <row r="3" ht="22" customHeight="1">
      <c r="A3" s="2" t="inlineStr">
        <is>
          <t>FA-PM-1043</t>
        </is>
      </c>
      <c r="B3" s="3" t="inlineStr">
        <is>
          <t>Robotic Welding Cell #4</t>
        </is>
      </c>
      <c r="C3" s="3" t="inlineStr">
        <is>
          <t>Pune Plant #2</t>
        </is>
      </c>
      <c r="D3" s="2" t="inlineStr">
        <is>
          <t>2020-08-10</t>
        </is>
      </c>
      <c r="E3" s="4" t="n">
        <v>18000000</v>
      </c>
      <c r="F3" s="2" t="n">
        <v>15</v>
      </c>
      <c r="G3" s="2" t="n">
        <v>15</v>
      </c>
      <c r="H3" s="4" t="n">
        <v>1140000</v>
      </c>
      <c r="I3" s="4" t="n">
        <v>1140000</v>
      </c>
      <c r="J3" s="4">
        <f>H3-I3</f>
        <v/>
      </c>
      <c r="K3" s="6" t="inlineStr">
        <is>
          <t>[COMPLIANT]</t>
        </is>
      </c>
    </row>
    <row r="4" ht="22" customHeight="1">
      <c r="A4" s="2" t="inlineStr">
        <is>
          <t>FA-IT-2011</t>
        </is>
      </c>
      <c r="B4" s="3" t="inlineStr">
        <is>
          <t>Enterprise Rack Servers (Dell R750)</t>
        </is>
      </c>
      <c r="C4" s="3" t="inlineStr">
        <is>
          <t>Bangalore DC</t>
        </is>
      </c>
      <c r="D4" s="2" t="inlineStr">
        <is>
          <t>2022-01-20</t>
        </is>
      </c>
      <c r="E4" s="4" t="n">
        <v>6500000</v>
      </c>
      <c r="F4" s="2" t="n">
        <v>3</v>
      </c>
      <c r="G4" s="2" t="n">
        <v>3</v>
      </c>
      <c r="H4" s="4" t="n">
        <v>2058333</v>
      </c>
      <c r="I4" s="4" t="n">
        <v>2058333</v>
      </c>
      <c r="J4" s="4">
        <f>H4-I4</f>
        <v/>
      </c>
      <c r="K4" s="6" t="inlineStr">
        <is>
          <t>[COMPLIANT]</t>
        </is>
      </c>
    </row>
    <row r="5" ht="22" customHeight="1">
      <c r="A5" s="2" t="inlineStr">
        <is>
          <t>FA-BL-3005</t>
        </is>
      </c>
      <c r="B5" s="3" t="inlineStr">
        <is>
          <t>Main Manufacturing Shed &amp; Structure</t>
        </is>
      </c>
      <c r="C5" s="3" t="inlineStr">
        <is>
          <t>Pune Plant #1</t>
        </is>
      </c>
      <c r="D5" s="2" t="inlineStr">
        <is>
          <t>2015-06-01</t>
        </is>
      </c>
      <c r="E5" s="4" t="n">
        <v>45000000</v>
      </c>
      <c r="F5" s="2" t="n">
        <v>30</v>
      </c>
      <c r="G5" s="2" t="n">
        <v>30</v>
      </c>
      <c r="H5" s="4" t="n">
        <v>1425000</v>
      </c>
      <c r="I5" s="4" t="n">
        <v>1425000</v>
      </c>
      <c r="J5" s="4">
        <f>H5-I5</f>
        <v/>
      </c>
      <c r="K5" s="6" t="inlineStr">
        <is>
          <t>[COMPLIANT]</t>
        </is>
      </c>
    </row>
    <row r="6" ht="22" customHeight="1">
      <c r="A6" s="2" t="inlineStr">
        <is>
          <t>FA-PM-1088</t>
        </is>
      </c>
      <c r="B6" s="3" t="inlineStr">
        <is>
          <t>Surface Grinding Machine Heavy</t>
        </is>
      </c>
      <c r="C6" s="3" t="inlineStr">
        <is>
          <t>Pune Plant #1</t>
        </is>
      </c>
      <c r="D6" s="2" t="inlineStr">
        <is>
          <t>2018-11-12</t>
        </is>
      </c>
      <c r="E6" s="4" t="n">
        <v>8500000</v>
      </c>
      <c r="F6" s="2" t="n">
        <v>15</v>
      </c>
      <c r="G6" s="2" t="n">
        <v>15</v>
      </c>
      <c r="H6" s="4" t="n">
        <v>538333</v>
      </c>
      <c r="I6" s="4" t="n">
        <v>538333</v>
      </c>
      <c r="J6" s="4">
        <f>H6-I6</f>
        <v/>
      </c>
      <c r="K6" s="6" t="inlineStr">
        <is>
          <t>[COMPLIANT]</t>
        </is>
      </c>
    </row>
    <row r="7" ht="22" customHeight="1">
      <c r="A7" s="2" t="inlineStr">
        <is>
          <t>FA-OF-4012</t>
        </is>
      </c>
      <c r="B7" s="3" t="inlineStr">
        <is>
          <t>HVAC Central Chiller 200 TR</t>
        </is>
      </c>
      <c r="C7" s="3" t="inlineStr">
        <is>
          <t>Bangalore HQ</t>
        </is>
      </c>
      <c r="D7" s="2" t="inlineStr">
        <is>
          <t>2021-03-15</t>
        </is>
      </c>
      <c r="E7" s="4" t="n">
        <v>9200000</v>
      </c>
      <c r="F7" s="2" t="n">
        <v>15</v>
      </c>
      <c r="G7" s="2" t="n">
        <v>15</v>
      </c>
      <c r="H7" s="4" t="n">
        <v>582667</v>
      </c>
      <c r="I7" s="4" t="n">
        <v>582667</v>
      </c>
      <c r="J7" s="4">
        <f>H7-I7</f>
        <v/>
      </c>
      <c r="K7" s="6" t="inlineStr">
        <is>
          <t>[COMPLIANT]</t>
        </is>
      </c>
    </row>
    <row r="8">
      <c r="A8" s="7" t="n"/>
      <c r="B8" s="8" t="inlineStr">
        <is>
          <t>TOTAL AUDIT SAMPLE</t>
        </is>
      </c>
      <c r="C8" s="7" t="n"/>
      <c r="D8" s="7" t="n"/>
      <c r="E8" s="9">
        <f>SUM(E2:E7)</f>
        <v/>
      </c>
      <c r="F8" s="7" t="n"/>
      <c r="G8" s="7" t="n"/>
      <c r="H8" s="9">
        <f>SUM(H2:H7)</f>
        <v/>
      </c>
      <c r="I8" s="9">
        <f>SUM(I2:I7)</f>
        <v/>
      </c>
      <c r="J8" s="9">
        <f>SUM(J2:J7)</f>
        <v/>
      </c>
      <c r="K8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  <col width="25" customWidth="1" min="4" max="4"/>
    <col width="20" customWidth="1" min="5" max="5"/>
    <col width="43" customWidth="1" min="6" max="6"/>
  </cols>
  <sheetData>
    <row r="1" ht="28" customHeight="1">
      <c r="A1" s="1" t="inlineStr">
        <is>
          <t>Asset Category</t>
        </is>
      </c>
      <c r="B1" s="1" t="inlineStr">
        <is>
          <t>Total Gross Block (₹)</t>
        </is>
      </c>
      <c r="C1" s="1" t="inlineStr">
        <is>
          <t>Statutory SLM Dep (₹)</t>
        </is>
      </c>
      <c r="D1" s="1" t="inlineStr">
        <is>
          <t>Recorded Book Dep (₹)</t>
        </is>
      </c>
      <c r="E1" s="1" t="inlineStr">
        <is>
          <t>Net Variance (₹)</t>
        </is>
      </c>
      <c r="F1" s="1" t="inlineStr">
        <is>
          <t>Audit Opinion</t>
        </is>
      </c>
    </row>
    <row r="2" ht="22" customHeight="1">
      <c r="A2" s="3" t="inlineStr">
        <is>
          <t>Plant &amp; Machinery</t>
        </is>
      </c>
      <c r="B2" s="4" t="n">
        <v>49000000</v>
      </c>
      <c r="C2" s="4" t="n">
        <v>3103333</v>
      </c>
      <c r="D2" s="4" t="n">
        <v>2728333</v>
      </c>
      <c r="E2" s="4" t="n">
        <v>3750000</v>
      </c>
      <c r="F2" s="5" t="inlineStr">
        <is>
          <t>Material Under-Provisioning [EXCEPTION]</t>
        </is>
      </c>
    </row>
    <row r="3" ht="22" customHeight="1">
      <c r="A3" s="3" t="inlineStr">
        <is>
          <t>Computer Hardware &amp; IT</t>
        </is>
      </c>
      <c r="B3" s="4" t="n">
        <v>6500000</v>
      </c>
      <c r="C3" s="4" t="n">
        <v>2058333</v>
      </c>
      <c r="D3" s="4" t="n">
        <v>2058333</v>
      </c>
      <c r="E3" s="4" t="n">
        <v>0</v>
      </c>
      <c r="F3" s="6" t="inlineStr">
        <is>
          <t>Statutory Compliant [PASS]</t>
        </is>
      </c>
    </row>
    <row r="4" ht="22" customHeight="1">
      <c r="A4" s="3" t="inlineStr">
        <is>
          <t>Factory Buildings &amp; Sheds</t>
        </is>
      </c>
      <c r="B4" s="4" t="n">
        <v>45000000</v>
      </c>
      <c r="C4" s="4" t="n">
        <v>1425000</v>
      </c>
      <c r="D4" s="4" t="n">
        <v>1425000</v>
      </c>
      <c r="E4" s="4" t="n">
        <v>0</v>
      </c>
      <c r="F4" s="6" t="inlineStr">
        <is>
          <t>Statutory Compliant [PASS]</t>
        </is>
      </c>
    </row>
    <row r="5" ht="22" customHeight="1">
      <c r="A5" s="3" t="inlineStr">
        <is>
          <t>Office Equipment &amp; HVAC</t>
        </is>
      </c>
      <c r="B5" s="4" t="n">
        <v>9200000</v>
      </c>
      <c r="C5" s="4" t="n">
        <v>582667</v>
      </c>
      <c r="D5" s="4" t="n">
        <v>582667</v>
      </c>
      <c r="E5" s="4" t="n">
        <v>0</v>
      </c>
      <c r="F5" s="6" t="inlineStr">
        <is>
          <t>Statutory Compliant [PASS]</t>
        </is>
      </c>
    </row>
    <row r="6">
      <c r="A6" s="8" t="inlineStr">
        <is>
          <t>TOTAL AUDITED PORTFOLIO</t>
        </is>
      </c>
      <c r="B6" s="9">
        <f>SUM(B2:B5)</f>
        <v/>
      </c>
      <c r="C6" s="9">
        <f>SUM(C2:C5)</f>
        <v/>
      </c>
      <c r="D6" s="9">
        <f>SUM(D2:D5)</f>
        <v/>
      </c>
      <c r="E6" s="9">
        <f>SUM(E2:E5)</f>
        <v/>
      </c>
      <c r="F6" s="10" t="inlineStr">
        <is>
          <t>Adjusting Entry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2026-10-09T07:35:11Z</dcterms:created>
  <dcterms:modified xmlns:dcterms="http://purl.org/dc/terms/" xmlns:xsi="http://www.w3.org/2001/XMLSchema-instance" xsi:type="dcterms:W3CDTF">2026-10-09T07:35:11Z</dcterms:modified>
</cp:coreProperties>
</file>